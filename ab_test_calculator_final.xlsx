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тог" sheetId="1" r:id="rId1"/>
    <sheet name="Положительные исходы" sheetId="2" r:id="rId2"/>
    <sheet name="Отрицательные исходы" sheetId="3" r:id="rId3"/>
    <sheet name="Нейтральные исходы" sheetId="4" r:id="rId4"/>
  </sheets>
  <calcPr calcId="124519" fullCalcOnLoad="1"/>
</workbook>
</file>

<file path=xl/sharedStrings.xml><?xml version="1.0" encoding="utf-8"?>
<sst xmlns="http://schemas.openxmlformats.org/spreadsheetml/2006/main" count="155" uniqueCount="42">
  <si>
    <t>Параметр</t>
  </si>
  <si>
    <t>Значение</t>
  </si>
  <si>
    <t>N (количество клиентов на ТТ)</t>
  </si>
  <si>
    <t>MDE (минимальный эффект, руб)</t>
  </si>
  <si>
    <t>Прирост выручки (сумма по успешным ТТ)</t>
  </si>
  <si>
    <t>Падение выручки (сумма по неуспешным ТТ)</t>
  </si>
  <si>
    <t>Баланс</t>
  </si>
  <si>
    <t>Количество наблюдений (сумма по нейтральным ТТ)</t>
  </si>
  <si>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</si>
  <si>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</si>
  <si>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</si>
  <si>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</si>
  <si>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</si>
  <si>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</si>
  <si>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</si>
  <si>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</si>
  <si>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</si>
  <si>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</si>
  <si>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</si>
  <si>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</si>
  <si>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</si>
  <si>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</si>
  <si>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</si>
  <si>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</si>
  <si>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</si>
  <si>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</si>
  <si>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</si>
  <si>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Положительный исход</t>
  </si>
  <si>
    <t>Прибыль/Убыток</t>
  </si>
  <si>
    <t>Волгоград</t>
  </si>
  <si>
    <t>Краснодар</t>
  </si>
  <si>
    <t>Отрицательный исход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</si>
  <si>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</si>
  <si>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</si>
  <si>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</si>
  <si>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</si>
  <si>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</si>
  <si>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</si>
  <si>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</si>
  <si>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</si>
  <si>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Нейтральный исход</t>
  </si>
  <si>
    <t>Требуемое N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</si>
</sst>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1000</v>
      </c>
    </row>
    <row r="3" spans="1:2">
      <c r="A3" t="s">
        <v>3</v>
      </c>
      <c r="B3" s="2">
        <v>1000</v>
      </c>
    </row>
    <row r="5" spans="1:2">
      <c r="A5" s="1" t="s">
        <v>4</v>
      </c>
      <c r="B5" s="3">
        <f>SUM('Положительные исходы'!O:O)</f>
        <v>0</v>
      </c>
    </row>
    <row r="6" spans="1:2">
      <c r="A6" s="1" t="s">
        <v>5</v>
      </c>
      <c r="B6" s="3">
        <f>SUM('Отрицательные исходы'!O:O)</f>
        <v>0</v>
      </c>
    </row>
    <row r="7" spans="1:2">
      <c r="A7" s="1" t="s">
        <v>6</v>
      </c>
      <c r="B7" s="3">
        <f>B5+B6</f>
        <v>0</v>
      </c>
    </row>
    <row r="8" spans="1:2">
      <c r="A8" s="1" t="s">
        <v>7</v>
      </c>
      <c r="B8" s="2">
        <f>SUM('Нейтральные исходы'!O:O)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cols>
    <col min="15" max="15" width="20.7109375" customWidth="1"/>
  </cols>
  <sheetData>
    <row r="1" spans="1:1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5" t="s">
        <v>28</v>
      </c>
    </row>
    <row r="2" spans="1:15">
      <c r="A2" t="s">
        <v>22</v>
      </c>
      <c r="B2">
        <v>991</v>
      </c>
      <c r="C2">
        <v>270</v>
      </c>
      <c r="D2">
        <v>294</v>
      </c>
      <c r="E2">
        <v>564</v>
      </c>
      <c r="F2">
        <v>0.01244538593936184</v>
      </c>
      <c r="G2">
        <v>3249.281481481481</v>
      </c>
      <c r="H2">
        <v>2452.986394557823</v>
      </c>
      <c r="I2">
        <v>796.2950869236583</v>
      </c>
      <c r="J2">
        <v>4719.592601269796</v>
      </c>
      <c r="K2">
        <v>3633.935858313944</v>
      </c>
      <c r="L2">
        <v>2.255258397806227</v>
      </c>
      <c r="M2">
        <v>0.02450100489027177</v>
      </c>
      <c r="N2" t="s">
        <v>27</v>
      </c>
      <c r="O2" s="3">
        <f>I2*Итог!$B$2*F2</f>
        <v>0</v>
      </c>
    </row>
    <row r="3" spans="1:15">
      <c r="A3" t="s">
        <v>23</v>
      </c>
      <c r="B3">
        <v>453</v>
      </c>
      <c r="C3">
        <v>1066</v>
      </c>
      <c r="D3">
        <v>1049</v>
      </c>
      <c r="E3">
        <v>2115</v>
      </c>
      <c r="F3">
        <v>0.04667019727260691</v>
      </c>
      <c r="G3">
        <v>2501.966228893058</v>
      </c>
      <c r="H3">
        <v>1889.923736892278</v>
      </c>
      <c r="I3">
        <v>612.0424920007797</v>
      </c>
      <c r="J3">
        <v>2993.442540138673</v>
      </c>
      <c r="K3">
        <v>2648.65930328259</v>
      </c>
      <c r="L3">
        <v>4.976910182958596</v>
      </c>
      <c r="M3">
        <v>6.983206901274464E-07</v>
      </c>
      <c r="N3" t="s">
        <v>27</v>
      </c>
      <c r="O3" s="3">
        <f>I3*Итог!$B$2*F3</f>
        <v>0</v>
      </c>
    </row>
    <row r="4" spans="1:15">
      <c r="A4" t="s">
        <v>24</v>
      </c>
      <c r="B4">
        <v>2652</v>
      </c>
      <c r="C4">
        <v>2273</v>
      </c>
      <c r="D4">
        <v>2370</v>
      </c>
      <c r="E4">
        <v>4643</v>
      </c>
      <c r="F4">
        <v>0.1024537711284699</v>
      </c>
      <c r="G4">
        <v>2506.616805983282</v>
      </c>
      <c r="H4">
        <v>1972.847679324894</v>
      </c>
      <c r="I4">
        <v>533.7691266583877</v>
      </c>
      <c r="J4">
        <v>2842.182948460009</v>
      </c>
      <c r="K4">
        <v>2565.878242255218</v>
      </c>
      <c r="L4">
        <v>6.722229837176436</v>
      </c>
      <c r="M4">
        <v>2.005922423225886E-11</v>
      </c>
      <c r="N4" t="s">
        <v>27</v>
      </c>
      <c r="O4" s="3">
        <f>I4*Итог!$B$2*F4</f>
        <v>0</v>
      </c>
    </row>
    <row r="5" spans="1:15">
      <c r="A5" t="s">
        <v>25</v>
      </c>
      <c r="B5">
        <v>11</v>
      </c>
      <c r="C5">
        <v>509</v>
      </c>
      <c r="D5">
        <v>608</v>
      </c>
      <c r="E5">
        <v>1117</v>
      </c>
      <c r="F5">
        <v>0.02464804272033188</v>
      </c>
      <c r="G5">
        <v>2547.220039292731</v>
      </c>
      <c r="H5">
        <v>2108.610197368421</v>
      </c>
      <c r="I5">
        <v>438.6098419243094</v>
      </c>
      <c r="J5">
        <v>3023.702163626914</v>
      </c>
      <c r="K5">
        <v>2663.038391974123</v>
      </c>
      <c r="L5">
        <v>2.576955493292318</v>
      </c>
      <c r="M5">
        <v>0.01009511217035171</v>
      </c>
      <c r="N5" t="s">
        <v>27</v>
      </c>
      <c r="O5" s="3">
        <f>I5*Итог!$B$2*F5</f>
        <v>0</v>
      </c>
    </row>
    <row r="6" spans="1:15">
      <c r="A6" t="s">
        <v>24</v>
      </c>
      <c r="B6">
        <v>1287</v>
      </c>
      <c r="C6">
        <v>370</v>
      </c>
      <c r="D6">
        <v>357</v>
      </c>
      <c r="E6">
        <v>727</v>
      </c>
      <c r="F6">
        <v>0.01604219074098592</v>
      </c>
      <c r="G6">
        <v>2128.556756756757</v>
      </c>
      <c r="H6">
        <v>1394.655462184874</v>
      </c>
      <c r="I6">
        <v>733.901294571883</v>
      </c>
      <c r="J6">
        <v>2437.376458023039</v>
      </c>
      <c r="K6">
        <v>2338.461778714984</v>
      </c>
      <c r="L6">
        <v>4.140297215882743</v>
      </c>
      <c r="M6">
        <v>3.876566044301065E-05</v>
      </c>
      <c r="N6" t="s">
        <v>27</v>
      </c>
      <c r="O6" s="3">
        <f>I6*Итог!$B$2*F6</f>
        <v>0</v>
      </c>
    </row>
    <row r="7" spans="1:15">
      <c r="A7" t="s">
        <v>23</v>
      </c>
      <c r="B7">
        <v>801</v>
      </c>
      <c r="C7">
        <v>225</v>
      </c>
      <c r="D7">
        <v>212</v>
      </c>
      <c r="E7">
        <v>437</v>
      </c>
      <c r="F7">
        <v>0.009642967474292776</v>
      </c>
      <c r="G7">
        <v>2925.142222222222</v>
      </c>
      <c r="H7">
        <v>2352.283018867925</v>
      </c>
      <c r="I7">
        <v>572.8592033542977</v>
      </c>
      <c r="J7">
        <v>2774.292063373435</v>
      </c>
      <c r="K7">
        <v>2928.285837816504</v>
      </c>
      <c r="L7">
        <v>2.099990622473212</v>
      </c>
      <c r="M7">
        <v>0.03630500606551906</v>
      </c>
      <c r="N7" t="s">
        <v>27</v>
      </c>
      <c r="O7" s="3">
        <f>I7*Итог!$B$2*F7</f>
        <v>0</v>
      </c>
    </row>
    <row r="8" spans="1:15">
      <c r="A8" t="s">
        <v>26</v>
      </c>
      <c r="B8">
        <v>33</v>
      </c>
      <c r="C8">
        <v>232</v>
      </c>
      <c r="D8">
        <v>258</v>
      </c>
      <c r="E8">
        <v>490</v>
      </c>
      <c r="F8">
        <v>0.01081248069199876</v>
      </c>
      <c r="G8">
        <v>4598.219827586207</v>
      </c>
      <c r="H8">
        <v>2311.387596899225</v>
      </c>
      <c r="I8">
        <v>2286.832230686982</v>
      </c>
      <c r="J8">
        <v>2931.234925686079</v>
      </c>
      <c r="K8">
        <v>2371.771295626133</v>
      </c>
      <c r="L8">
        <v>9.53283791641104</v>
      </c>
      <c r="M8">
        <v>7.222518974571453E-20</v>
      </c>
      <c r="N8" t="s">
        <v>27</v>
      </c>
      <c r="O8" s="3">
        <f>I8*Итог!$B$2*F8</f>
        <v>0</v>
      </c>
    </row>
    <row r="9" spans="1:15">
      <c r="A9" t="s">
        <v>26</v>
      </c>
      <c r="B9">
        <v>34</v>
      </c>
      <c r="C9">
        <v>225</v>
      </c>
      <c r="D9">
        <v>253</v>
      </c>
      <c r="E9">
        <v>478</v>
      </c>
      <c r="F9">
        <v>0.01054768524648043</v>
      </c>
      <c r="G9">
        <v>3104.506666666667</v>
      </c>
      <c r="H9">
        <v>1752.608695652174</v>
      </c>
      <c r="I9">
        <v>1351.897971014493</v>
      </c>
      <c r="J9">
        <v>2956.826914592253</v>
      </c>
      <c r="K9">
        <v>2529.700798122045</v>
      </c>
      <c r="L9">
        <v>5.386264996928272</v>
      </c>
      <c r="M9">
        <v>1.132778513038831E-07</v>
      </c>
      <c r="N9" t="s">
        <v>27</v>
      </c>
      <c r="O9" s="3">
        <f>I9*Итог!$B$2*F9</f>
        <v>0</v>
      </c>
    </row>
    <row r="10" spans="1:15">
      <c r="A10" t="s">
        <v>23</v>
      </c>
      <c r="B10">
        <v>573</v>
      </c>
      <c r="C10">
        <v>177</v>
      </c>
      <c r="D10">
        <v>160</v>
      </c>
      <c r="E10">
        <v>337</v>
      </c>
      <c r="F10">
        <v>0.007436338761639966</v>
      </c>
      <c r="G10">
        <v>2929.045197740113</v>
      </c>
      <c r="H10">
        <v>1641.2125</v>
      </c>
      <c r="I10">
        <v>1287.832697740113</v>
      </c>
      <c r="J10">
        <v>3201.098136895597</v>
      </c>
      <c r="K10">
        <v>2619.044780950227</v>
      </c>
      <c r="L10">
        <v>4.016568511433452</v>
      </c>
      <c r="M10">
        <v>7.29407411923071E-05</v>
      </c>
      <c r="N10" t="s">
        <v>27</v>
      </c>
      <c r="O10" s="3">
        <f>I10*Итог!$B$2*F10</f>
        <v>0</v>
      </c>
    </row>
    <row r="11" spans="1:15">
      <c r="A11" t="s">
        <v>23</v>
      </c>
      <c r="B11">
        <v>900</v>
      </c>
      <c r="C11">
        <v>335</v>
      </c>
      <c r="D11">
        <v>341</v>
      </c>
      <c r="E11">
        <v>676</v>
      </c>
      <c r="F11">
        <v>0.01491681009753299</v>
      </c>
      <c r="G11">
        <v>2450.991044776119</v>
      </c>
      <c r="H11">
        <v>1689.791788856305</v>
      </c>
      <c r="I11">
        <v>761.1992559198145</v>
      </c>
      <c r="J11">
        <v>2865.607355846858</v>
      </c>
      <c r="K11">
        <v>2492.47261134106</v>
      </c>
      <c r="L11">
        <v>3.686913572889702</v>
      </c>
      <c r="M11">
        <v>0.0002452534239227357</v>
      </c>
      <c r="N11" t="s">
        <v>27</v>
      </c>
      <c r="O11" s="3">
        <f>I11*Итог!$B$2*F11</f>
        <v>0</v>
      </c>
    </row>
    <row r="12" spans="1:15">
      <c r="A12" t="s">
        <v>26</v>
      </c>
      <c r="B12">
        <v>35</v>
      </c>
      <c r="C12">
        <v>214</v>
      </c>
      <c r="D12">
        <v>194</v>
      </c>
      <c r="E12">
        <v>408</v>
      </c>
      <c r="F12">
        <v>0.009003045147623462</v>
      </c>
      <c r="G12">
        <v>2762.22429906542</v>
      </c>
      <c r="H12">
        <v>1508.835051546392</v>
      </c>
      <c r="I12">
        <v>1253.389247519029</v>
      </c>
      <c r="J12">
        <v>2977.083547216355</v>
      </c>
      <c r="K12">
        <v>2184.808094063227</v>
      </c>
      <c r="L12">
        <v>4.806666195414569</v>
      </c>
      <c r="M12">
        <v>2.164675675858811E-06</v>
      </c>
      <c r="N12" t="s">
        <v>27</v>
      </c>
      <c r="O12" s="3">
        <f>I12*Итог!$B$2*F12</f>
        <v>0</v>
      </c>
    </row>
    <row r="13" spans="1:15">
      <c r="A13" t="s">
        <v>23</v>
      </c>
      <c r="B13">
        <v>117</v>
      </c>
      <c r="C13">
        <v>625</v>
      </c>
      <c r="D13">
        <v>587</v>
      </c>
      <c r="E13">
        <v>1212</v>
      </c>
      <c r="F13">
        <v>0.02674433999735205</v>
      </c>
      <c r="G13">
        <v>2582.2976</v>
      </c>
      <c r="H13">
        <v>2050.691652470187</v>
      </c>
      <c r="I13">
        <v>531.6059475298125</v>
      </c>
      <c r="J13">
        <v>2835.004503186402</v>
      </c>
      <c r="K13">
        <v>2595.737791962634</v>
      </c>
      <c r="L13">
        <v>3.398195600570176</v>
      </c>
      <c r="M13">
        <v>0.0007003816631342835</v>
      </c>
      <c r="N13" t="s">
        <v>27</v>
      </c>
      <c r="O13" s="3">
        <f>I13*Итог!$B$2*F13</f>
        <v>0</v>
      </c>
    </row>
    <row r="14" spans="1:15">
      <c r="A14" t="s">
        <v>24</v>
      </c>
      <c r="B14">
        <v>1654</v>
      </c>
      <c r="C14">
        <v>799</v>
      </c>
      <c r="D14">
        <v>775</v>
      </c>
      <c r="E14">
        <v>1574</v>
      </c>
      <c r="F14">
        <v>0.03473233593715522</v>
      </c>
      <c r="G14">
        <v>3132.301627033792</v>
      </c>
      <c r="H14">
        <v>2507.886451612903</v>
      </c>
      <c r="I14">
        <v>624.4151754208888</v>
      </c>
      <c r="J14">
        <v>3199.660200142473</v>
      </c>
      <c r="K14">
        <v>2950.512888451697</v>
      </c>
      <c r="L14">
        <v>4.021739297627466</v>
      </c>
      <c r="M14">
        <v>6.050970845492351E-05</v>
      </c>
      <c r="N14" t="s">
        <v>27</v>
      </c>
      <c r="O14" s="3">
        <f>I14*Итог!$B$2*F14</f>
        <v>0</v>
      </c>
    </row>
    <row r="15" spans="1:15">
      <c r="A15" t="s">
        <v>23</v>
      </c>
      <c r="B15">
        <v>213</v>
      </c>
      <c r="C15">
        <v>232</v>
      </c>
      <c r="D15">
        <v>255</v>
      </c>
      <c r="E15">
        <v>487</v>
      </c>
      <c r="F15">
        <v>0.01074628183061918</v>
      </c>
      <c r="G15">
        <v>2977.629310344827</v>
      </c>
      <c r="H15">
        <v>2277.611764705882</v>
      </c>
      <c r="I15">
        <v>700.0175456389452</v>
      </c>
      <c r="J15">
        <v>2905.494362359007</v>
      </c>
      <c r="K15">
        <v>2710.043413201317</v>
      </c>
      <c r="L15">
        <v>2.750751894358415</v>
      </c>
      <c r="M15">
        <v>0.006168215295010464</v>
      </c>
      <c r="N15" t="s">
        <v>27</v>
      </c>
      <c r="O15" s="3">
        <f>I15*Итог!$B$2*F15</f>
        <v>0</v>
      </c>
    </row>
    <row r="16" spans="1:15">
      <c r="A16" t="s">
        <v>26</v>
      </c>
      <c r="B16">
        <v>36</v>
      </c>
      <c r="C16">
        <v>131</v>
      </c>
      <c r="D16">
        <v>141</v>
      </c>
      <c r="E16">
        <v>272</v>
      </c>
      <c r="F16">
        <v>0.00600203009841564</v>
      </c>
      <c r="G16">
        <v>1987.328244274809</v>
      </c>
      <c r="H16">
        <v>860.418439716312</v>
      </c>
      <c r="I16">
        <v>1126.909804558497</v>
      </c>
      <c r="J16">
        <v>2718.502663211577</v>
      </c>
      <c r="K16">
        <v>1840.826639451606</v>
      </c>
      <c r="L16">
        <v>4.027950727966892</v>
      </c>
      <c r="M16">
        <v>7.318758090993379E-05</v>
      </c>
      <c r="N16" t="s">
        <v>27</v>
      </c>
      <c r="O16" s="3">
        <f>I16*Итог!$B$2*F16</f>
        <v>0</v>
      </c>
    </row>
    <row r="17" spans="1:15">
      <c r="A17" t="s">
        <v>23</v>
      </c>
      <c r="B17">
        <v>891</v>
      </c>
      <c r="C17">
        <v>159</v>
      </c>
      <c r="D17">
        <v>167</v>
      </c>
      <c r="E17">
        <v>326</v>
      </c>
      <c r="F17">
        <v>0.007193609603248157</v>
      </c>
      <c r="G17">
        <v>2618.949685534591</v>
      </c>
      <c r="H17">
        <v>1980.65868263473</v>
      </c>
      <c r="I17">
        <v>638.2910028998606</v>
      </c>
      <c r="J17">
        <v>2899.78246412116</v>
      </c>
      <c r="K17">
        <v>2489.571942139818</v>
      </c>
      <c r="L17">
        <v>2.135593480676524</v>
      </c>
      <c r="M17">
        <v>0.03346203684469195</v>
      </c>
      <c r="N17" t="s">
        <v>27</v>
      </c>
      <c r="O17" s="3">
        <f>I17*Итог!$B$2*F17</f>
        <v>0</v>
      </c>
    </row>
    <row r="18" spans="1:15">
      <c r="A18" t="s">
        <v>24</v>
      </c>
      <c r="B18">
        <v>1002</v>
      </c>
      <c r="C18">
        <v>138</v>
      </c>
      <c r="D18">
        <v>188</v>
      </c>
      <c r="E18">
        <v>326</v>
      </c>
      <c r="F18">
        <v>0.007193609603248157</v>
      </c>
      <c r="G18">
        <v>4121.753623188406</v>
      </c>
      <c r="H18">
        <v>1844.787234042553</v>
      </c>
      <c r="I18">
        <v>2276.966389145853</v>
      </c>
      <c r="J18">
        <v>4084.263175981714</v>
      </c>
      <c r="K18">
        <v>2436.536120119913</v>
      </c>
      <c r="L18">
        <v>6.274622304071531</v>
      </c>
      <c r="M18">
        <v>1.122386836376653E-09</v>
      </c>
      <c r="N18" t="s">
        <v>27</v>
      </c>
      <c r="O18" s="3">
        <f>I18*Итог!$B$2*F18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cols>
    <col min="15" max="15" width="20.7109375" customWidth="1"/>
  </cols>
  <sheetData>
    <row r="1" spans="1:1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5" t="s">
        <v>28</v>
      </c>
    </row>
    <row r="2" spans="1:15">
      <c r="A2" t="s">
        <v>29</v>
      </c>
      <c r="B2">
        <v>66</v>
      </c>
      <c r="C2">
        <v>657</v>
      </c>
      <c r="D2">
        <v>703</v>
      </c>
      <c r="E2">
        <v>1360</v>
      </c>
      <c r="F2">
        <v>0.0300101504920782</v>
      </c>
      <c r="G2">
        <v>2288.870624048706</v>
      </c>
      <c r="H2">
        <v>2601.761024182077</v>
      </c>
      <c r="I2">
        <v>-312.8904001333703</v>
      </c>
      <c r="J2">
        <v>2682.567610473354</v>
      </c>
      <c r="K2">
        <v>2830.193773341512</v>
      </c>
      <c r="L2">
        <v>-2.089271894332344</v>
      </c>
      <c r="M2">
        <v>0.03686899928098654</v>
      </c>
      <c r="N2" t="s">
        <v>31</v>
      </c>
      <c r="O2" s="3">
        <f>I2*Итог!$B$2*F2</f>
        <v>0</v>
      </c>
    </row>
    <row r="3" spans="1:15">
      <c r="A3" t="s">
        <v>30</v>
      </c>
      <c r="B3">
        <v>1101</v>
      </c>
      <c r="C3">
        <v>785</v>
      </c>
      <c r="D3">
        <v>869</v>
      </c>
      <c r="E3">
        <v>1654</v>
      </c>
      <c r="F3">
        <v>0.03649763890727746</v>
      </c>
      <c r="G3">
        <v>2176.003821656051</v>
      </c>
      <c r="H3">
        <v>2523.578826237054</v>
      </c>
      <c r="I3">
        <v>-347.5750045810032</v>
      </c>
      <c r="J3">
        <v>2722.624493740172</v>
      </c>
      <c r="K3">
        <v>2960.352337638417</v>
      </c>
      <c r="L3">
        <v>-2.476736308530425</v>
      </c>
      <c r="M3">
        <v>0.0133584476189182</v>
      </c>
      <c r="N3" t="s">
        <v>31</v>
      </c>
      <c r="O3" s="3">
        <f>I3*Итог!$B$2*F3</f>
        <v>0</v>
      </c>
    </row>
    <row r="4" spans="1:15">
      <c r="A4" t="s">
        <v>24</v>
      </c>
      <c r="B4">
        <v>9931</v>
      </c>
      <c r="C4">
        <v>153</v>
      </c>
      <c r="D4">
        <v>137</v>
      </c>
      <c r="E4">
        <v>290</v>
      </c>
      <c r="F4">
        <v>0.006399223266693147</v>
      </c>
      <c r="G4">
        <v>1415.78431372549</v>
      </c>
      <c r="H4">
        <v>1968.693430656934</v>
      </c>
      <c r="I4">
        <v>-552.909116931444</v>
      </c>
      <c r="J4">
        <v>2038.164247362318</v>
      </c>
      <c r="K4">
        <v>2403.397856840468</v>
      </c>
      <c r="L4">
        <v>-2.1191969117156</v>
      </c>
      <c r="M4">
        <v>0.03492946899895182</v>
      </c>
      <c r="N4" t="s">
        <v>31</v>
      </c>
      <c r="O4" s="3">
        <f>I4*Итог!$B$2*F4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RowHeight="15"/>
  <cols>
    <col min="15" max="15" width="20.7109375" customWidth="1"/>
  </cols>
  <sheetData>
    <row r="1" spans="1:1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5" t="s">
        <v>41</v>
      </c>
    </row>
    <row r="2" spans="1:15">
      <c r="A2" t="s">
        <v>32</v>
      </c>
      <c r="B2">
        <v>212</v>
      </c>
      <c r="C2">
        <v>593</v>
      </c>
      <c r="D2">
        <v>575</v>
      </c>
      <c r="E2">
        <v>1168</v>
      </c>
      <c r="F2">
        <v>0.02577342336378481</v>
      </c>
      <c r="G2">
        <v>2144.317032040472</v>
      </c>
      <c r="H2">
        <v>2222.052173913044</v>
      </c>
      <c r="I2">
        <v>-77.7351418725716</v>
      </c>
      <c r="J2">
        <v>2708.588723980119</v>
      </c>
      <c r="K2">
        <v>2785.116250157231</v>
      </c>
      <c r="L2">
        <v>-0.4835853855099397</v>
      </c>
      <c r="M2">
        <v>0.6287709476405416</v>
      </c>
      <c r="N2" t="s">
        <v>40</v>
      </c>
      <c r="O2" s="2">
        <f>IF(Итог!$B$3=0, 0, 16*(K2^2)/(Итог!$B$3^2))</f>
        <v>0</v>
      </c>
    </row>
    <row r="3" spans="1:15">
      <c r="A3" t="s">
        <v>33</v>
      </c>
      <c r="B3">
        <v>54</v>
      </c>
      <c r="C3">
        <v>633</v>
      </c>
      <c r="D3">
        <v>640</v>
      </c>
      <c r="E3">
        <v>1273</v>
      </c>
      <c r="F3">
        <v>0.02809038351207026</v>
      </c>
      <c r="G3">
        <v>1702.714060031596</v>
      </c>
      <c r="H3">
        <v>1688.5125</v>
      </c>
      <c r="I3">
        <v>14.20156003159559</v>
      </c>
      <c r="J3">
        <v>2565.132439533973</v>
      </c>
      <c r="K3">
        <v>2628.01249032338</v>
      </c>
      <c r="L3">
        <v>0.09755565695015662</v>
      </c>
      <c r="M3">
        <v>0.922300518333421</v>
      </c>
      <c r="N3" t="s">
        <v>40</v>
      </c>
      <c r="O3" s="2">
        <f>IF(Итог!$B$3=0, 0, 16*(K3^2)/(Итог!$B$3^2))</f>
        <v>0</v>
      </c>
    </row>
    <row r="4" spans="1:15">
      <c r="A4" t="s">
        <v>32</v>
      </c>
      <c r="B4">
        <v>278</v>
      </c>
      <c r="C4">
        <v>535</v>
      </c>
      <c r="D4">
        <v>489</v>
      </c>
      <c r="E4">
        <v>1024</v>
      </c>
      <c r="F4">
        <v>0.02259587801756477</v>
      </c>
      <c r="G4">
        <v>2499.345794392523</v>
      </c>
      <c r="H4">
        <v>2185.21472392638</v>
      </c>
      <c r="I4">
        <v>314.1310704661428</v>
      </c>
      <c r="J4">
        <v>2915.995328953644</v>
      </c>
      <c r="K4">
        <v>2574.915597237611</v>
      </c>
      <c r="L4">
        <v>1.820268120194865</v>
      </c>
      <c r="M4">
        <v>0.06901056074583502</v>
      </c>
      <c r="N4" t="s">
        <v>40</v>
      </c>
      <c r="O4" s="2">
        <f>IF(Итог!$B$3=0, 0, 16*(K4^2)/(Итог!$B$3^2))</f>
        <v>0</v>
      </c>
    </row>
    <row r="5" spans="1:15">
      <c r="A5" t="s">
        <v>24</v>
      </c>
      <c r="B5">
        <v>6543</v>
      </c>
      <c r="C5">
        <v>662</v>
      </c>
      <c r="D5">
        <v>689</v>
      </c>
      <c r="E5">
        <v>1351</v>
      </c>
      <c r="F5">
        <v>0.02981155390793945</v>
      </c>
      <c r="G5">
        <v>1702.439577039275</v>
      </c>
      <c r="H5">
        <v>1528.325108853411</v>
      </c>
      <c r="I5">
        <v>174.1144681858643</v>
      </c>
      <c r="J5">
        <v>2453.901717378333</v>
      </c>
      <c r="K5">
        <v>2338.522063325949</v>
      </c>
      <c r="L5">
        <v>1.335377321119084</v>
      </c>
      <c r="M5">
        <v>0.1819781594832154</v>
      </c>
      <c r="N5" t="s">
        <v>40</v>
      </c>
      <c r="O5" s="2">
        <f>IF(Итог!$B$3=0, 0, 16*(K5^2)/(Итог!$B$3^2))</f>
        <v>0</v>
      </c>
    </row>
    <row r="6" spans="1:15">
      <c r="A6" t="s">
        <v>22</v>
      </c>
      <c r="B6">
        <v>699</v>
      </c>
      <c r="C6">
        <v>482</v>
      </c>
      <c r="D6">
        <v>494</v>
      </c>
      <c r="E6">
        <v>976</v>
      </c>
      <c r="F6">
        <v>0.02153669623549142</v>
      </c>
      <c r="G6">
        <v>2422.286307053942</v>
      </c>
      <c r="H6">
        <v>2574.352226720648</v>
      </c>
      <c r="I6">
        <v>-152.0659196667057</v>
      </c>
      <c r="J6">
        <v>3906.81789749383</v>
      </c>
      <c r="K6">
        <v>4082.851355871659</v>
      </c>
      <c r="L6">
        <v>-0.594253825884729</v>
      </c>
      <c r="M6">
        <v>0.5524803558814528</v>
      </c>
      <c r="N6" t="s">
        <v>40</v>
      </c>
      <c r="O6" s="2">
        <f>IF(Итог!$B$3=0, 0, 16*(K6^2)/(Итог!$B$3^2))</f>
        <v>0</v>
      </c>
    </row>
    <row r="7" spans="1:15">
      <c r="A7" t="s">
        <v>22</v>
      </c>
      <c r="B7">
        <v>477</v>
      </c>
      <c r="C7">
        <v>382</v>
      </c>
      <c r="D7">
        <v>386</v>
      </c>
      <c r="E7">
        <v>768</v>
      </c>
      <c r="F7">
        <v>0.01694690851317357</v>
      </c>
      <c r="G7">
        <v>2259.623036649215</v>
      </c>
      <c r="H7">
        <v>2496.987046632124</v>
      </c>
      <c r="I7">
        <v>-237.3640099829099</v>
      </c>
      <c r="J7">
        <v>3482.846093734803</v>
      </c>
      <c r="K7">
        <v>3881.994718522543</v>
      </c>
      <c r="L7">
        <v>-0.8915933629198624</v>
      </c>
      <c r="M7">
        <v>0.3728909035918657</v>
      </c>
      <c r="N7" t="s">
        <v>40</v>
      </c>
      <c r="O7" s="2">
        <f>IF(Итог!$B$3=0, 0, 16*(K7^2)/(Итог!$B$3^2))</f>
        <v>0</v>
      </c>
    </row>
    <row r="8" spans="1:15">
      <c r="A8" t="s">
        <v>22</v>
      </c>
      <c r="B8">
        <v>544</v>
      </c>
      <c r="C8">
        <v>377</v>
      </c>
      <c r="D8">
        <v>416</v>
      </c>
      <c r="E8">
        <v>793</v>
      </c>
      <c r="F8">
        <v>0.01749856569133678</v>
      </c>
      <c r="G8">
        <v>2621.427055702918</v>
      </c>
      <c r="H8">
        <v>2635.548076923077</v>
      </c>
      <c r="I8">
        <v>-14.12102122015949</v>
      </c>
      <c r="J8">
        <v>3714.894751037679</v>
      </c>
      <c r="K8">
        <v>4639.820746183984</v>
      </c>
      <c r="L8">
        <v>-0.0469970597577382</v>
      </c>
      <c r="M8">
        <v>0.9625274336266005</v>
      </c>
      <c r="N8" t="s">
        <v>40</v>
      </c>
      <c r="O8" s="2">
        <f>IF(Итог!$B$3=0, 0, 16*(K8^2)/(Итог!$B$3^2))</f>
        <v>0</v>
      </c>
    </row>
    <row r="9" spans="1:15">
      <c r="A9" t="s">
        <v>34</v>
      </c>
      <c r="B9">
        <v>80</v>
      </c>
      <c r="C9">
        <v>844</v>
      </c>
      <c r="D9">
        <v>880</v>
      </c>
      <c r="E9">
        <v>1724</v>
      </c>
      <c r="F9">
        <v>0.03804227900613442</v>
      </c>
      <c r="G9">
        <v>2517.330568720379</v>
      </c>
      <c r="H9">
        <v>2511.972727272727</v>
      </c>
      <c r="I9">
        <v>5.357841447651936</v>
      </c>
      <c r="J9">
        <v>2797.1230332386</v>
      </c>
      <c r="K9">
        <v>2824.719932223567</v>
      </c>
      <c r="L9">
        <v>0.03955808646720596</v>
      </c>
      <c r="M9">
        <v>0.9684500289514379</v>
      </c>
      <c r="N9" t="s">
        <v>40</v>
      </c>
      <c r="O9" s="2">
        <f>IF(Итог!$B$3=0, 0, 16*(K9^2)/(Итог!$B$3^2))</f>
        <v>0</v>
      </c>
    </row>
    <row r="10" spans="1:15">
      <c r="A10" t="s">
        <v>35</v>
      </c>
      <c r="B10">
        <v>88</v>
      </c>
      <c r="C10">
        <v>190</v>
      </c>
      <c r="D10">
        <v>167</v>
      </c>
      <c r="E10">
        <v>357</v>
      </c>
      <c r="F10">
        <v>0.007877664504170528</v>
      </c>
      <c r="G10">
        <v>2902.410526315789</v>
      </c>
      <c r="H10">
        <v>2439.461077844312</v>
      </c>
      <c r="I10">
        <v>462.9494484714778</v>
      </c>
      <c r="J10">
        <v>3074.648886892026</v>
      </c>
      <c r="K10">
        <v>2689.343053091383</v>
      </c>
      <c r="L10">
        <v>1.504556345674075</v>
      </c>
      <c r="M10">
        <v>0.1333273246710206</v>
      </c>
      <c r="N10" t="s">
        <v>40</v>
      </c>
      <c r="O10" s="2">
        <f>IF(Итог!$B$3=0, 0, 16*(K10^2)/(Итог!$B$3^2))</f>
        <v>0</v>
      </c>
    </row>
    <row r="11" spans="1:15">
      <c r="A11" t="s">
        <v>36</v>
      </c>
      <c r="B11">
        <v>19</v>
      </c>
      <c r="C11">
        <v>130</v>
      </c>
      <c r="D11">
        <v>146</v>
      </c>
      <c r="E11">
        <v>276</v>
      </c>
      <c r="F11">
        <v>0.006090295246921753</v>
      </c>
      <c r="G11">
        <v>2043.823076923077</v>
      </c>
      <c r="H11">
        <v>1743.376712328767</v>
      </c>
      <c r="I11">
        <v>300.4463645943099</v>
      </c>
      <c r="J11">
        <v>2442.266787531378</v>
      </c>
      <c r="K11">
        <v>2891.33335937594</v>
      </c>
      <c r="L11">
        <v>0.9264590634677944</v>
      </c>
      <c r="M11">
        <v>0.3550227648604757</v>
      </c>
      <c r="N11" t="s">
        <v>40</v>
      </c>
      <c r="O11" s="2">
        <f>IF(Итог!$B$3=0, 0, 16*(K11^2)/(Итог!$B$3^2))</f>
        <v>0</v>
      </c>
    </row>
    <row r="12" spans="1:15">
      <c r="A12" t="s">
        <v>23</v>
      </c>
      <c r="B12">
        <v>112</v>
      </c>
      <c r="C12">
        <v>652</v>
      </c>
      <c r="D12">
        <v>683</v>
      </c>
      <c r="E12">
        <v>1335</v>
      </c>
      <c r="F12">
        <v>0.029458493313915</v>
      </c>
      <c r="G12">
        <v>2488.115030674847</v>
      </c>
      <c r="H12">
        <v>2218.636896046852</v>
      </c>
      <c r="I12">
        <v>269.4781346279947</v>
      </c>
      <c r="J12">
        <v>2778.17918256994</v>
      </c>
      <c r="K12">
        <v>2780.790660035674</v>
      </c>
      <c r="L12">
        <v>1.770712015951776</v>
      </c>
      <c r="M12">
        <v>0.07683710303752554</v>
      </c>
      <c r="N12" t="s">
        <v>40</v>
      </c>
      <c r="O12" s="2">
        <f>IF(Итог!$B$3=0, 0, 16*(K12^2)/(Итог!$B$3^2))</f>
        <v>0</v>
      </c>
    </row>
    <row r="13" spans="1:15">
      <c r="A13" t="s">
        <v>23</v>
      </c>
      <c r="B13">
        <v>394</v>
      </c>
      <c r="C13">
        <v>104</v>
      </c>
      <c r="D13">
        <v>85</v>
      </c>
      <c r="E13">
        <v>189</v>
      </c>
      <c r="F13">
        <v>0.004170528266913809</v>
      </c>
      <c r="G13">
        <v>1229.644230769231</v>
      </c>
      <c r="H13">
        <v>973.6235294117647</v>
      </c>
      <c r="I13">
        <v>256.020701357466</v>
      </c>
      <c r="J13">
        <v>2208.227839827167</v>
      </c>
      <c r="K13">
        <v>1940.854825024459</v>
      </c>
      <c r="L13">
        <v>0.8368253919110503</v>
      </c>
      <c r="M13">
        <v>0.4037588467510738</v>
      </c>
      <c r="N13" t="s">
        <v>40</v>
      </c>
      <c r="O13" s="2">
        <f>IF(Итог!$B$3=0, 0, 16*(K13^2)/(Итог!$B$3^2))</f>
        <v>0</v>
      </c>
    </row>
    <row r="14" spans="1:15">
      <c r="A14" t="s">
        <v>37</v>
      </c>
      <c r="B14">
        <v>72</v>
      </c>
      <c r="C14">
        <v>609</v>
      </c>
      <c r="D14">
        <v>639</v>
      </c>
      <c r="E14">
        <v>1248</v>
      </c>
      <c r="F14">
        <v>0.02753872633390706</v>
      </c>
      <c r="G14">
        <v>2371.433497536946</v>
      </c>
      <c r="H14">
        <v>2523.37558685446</v>
      </c>
      <c r="I14">
        <v>-151.9420893175143</v>
      </c>
      <c r="J14">
        <v>2906.824457531353</v>
      </c>
      <c r="K14">
        <v>2795.917175533605</v>
      </c>
      <c r="L14">
        <v>-0.9412336353575678</v>
      </c>
      <c r="M14">
        <v>0.3467675852041211</v>
      </c>
      <c r="N14" t="s">
        <v>40</v>
      </c>
      <c r="O14" s="2">
        <f>IF(Итог!$B$3=0, 0, 16*(K14^2)/(Итог!$B$3^2))</f>
        <v>0</v>
      </c>
    </row>
    <row r="15" spans="1:15">
      <c r="A15" t="s">
        <v>32</v>
      </c>
      <c r="B15">
        <v>202</v>
      </c>
      <c r="C15">
        <v>551</v>
      </c>
      <c r="D15">
        <v>565</v>
      </c>
      <c r="E15">
        <v>1116</v>
      </c>
      <c r="F15">
        <v>0.02462597643320535</v>
      </c>
      <c r="G15">
        <v>2927.341197822142</v>
      </c>
      <c r="H15">
        <v>2730.378761061947</v>
      </c>
      <c r="I15">
        <v>196.9624367601946</v>
      </c>
      <c r="J15">
        <v>2956.686241494881</v>
      </c>
      <c r="K15">
        <v>2737.88578516303</v>
      </c>
      <c r="L15">
        <v>1.155072918440385</v>
      </c>
      <c r="M15">
        <v>0.2483082639044714</v>
      </c>
      <c r="N15" t="s">
        <v>40</v>
      </c>
      <c r="O15" s="2">
        <f>IF(Итог!$B$3=0, 0, 16*(K15^2)/(Итог!$B$3^2))</f>
        <v>0</v>
      </c>
    </row>
    <row r="16" spans="1:15">
      <c r="A16" t="s">
        <v>33</v>
      </c>
      <c r="B16">
        <v>55</v>
      </c>
      <c r="C16">
        <v>422</v>
      </c>
      <c r="D16">
        <v>425</v>
      </c>
      <c r="E16">
        <v>847</v>
      </c>
      <c r="F16">
        <v>0.01869014519616929</v>
      </c>
      <c r="G16">
        <v>2109.10663507109</v>
      </c>
      <c r="H16">
        <v>2111.272941176471</v>
      </c>
      <c r="I16">
        <v>-2.166306105380954</v>
      </c>
      <c r="J16">
        <v>2790.993385246184</v>
      </c>
      <c r="K16">
        <v>2804.223188242763</v>
      </c>
      <c r="L16">
        <v>-0.01126774587434534</v>
      </c>
      <c r="M16">
        <v>0.9910124894120407</v>
      </c>
      <c r="N16" t="s">
        <v>40</v>
      </c>
      <c r="O16" s="2">
        <f>IF(Итог!$B$3=0, 0, 16*(K16^2)/(Итог!$B$3^2))</f>
        <v>0</v>
      </c>
    </row>
    <row r="17" spans="1:15">
      <c r="A17" t="s">
        <v>32</v>
      </c>
      <c r="B17">
        <v>444</v>
      </c>
      <c r="C17">
        <v>650</v>
      </c>
      <c r="D17">
        <v>562</v>
      </c>
      <c r="E17">
        <v>1212</v>
      </c>
      <c r="F17">
        <v>0.02674433999735205</v>
      </c>
      <c r="G17">
        <v>2404.106153846154</v>
      </c>
      <c r="H17">
        <v>2545.73487544484</v>
      </c>
      <c r="I17">
        <v>-141.6287215986858</v>
      </c>
      <c r="J17">
        <v>2810.828487354611</v>
      </c>
      <c r="K17">
        <v>2797.138763933518</v>
      </c>
      <c r="L17">
        <v>-0.8767403719314057</v>
      </c>
      <c r="M17">
        <v>0.3808017001028424</v>
      </c>
      <c r="N17" t="s">
        <v>40</v>
      </c>
      <c r="O17" s="2">
        <f>IF(Итог!$B$3=0, 0, 16*(K17^2)/(Итог!$B$3^2))</f>
        <v>0</v>
      </c>
    </row>
    <row r="18" spans="1:15">
      <c r="A18" t="s">
        <v>30</v>
      </c>
      <c r="B18">
        <v>1989</v>
      </c>
      <c r="C18">
        <v>239</v>
      </c>
      <c r="D18">
        <v>270</v>
      </c>
      <c r="E18">
        <v>509</v>
      </c>
      <c r="F18">
        <v>0.0112317401474028</v>
      </c>
      <c r="G18">
        <v>4407.384937238494</v>
      </c>
      <c r="H18">
        <v>4163.959259259259</v>
      </c>
      <c r="I18">
        <v>243.4256779792349</v>
      </c>
      <c r="J18">
        <v>2737.900725119977</v>
      </c>
      <c r="K18">
        <v>2492.096293311516</v>
      </c>
      <c r="L18">
        <v>1.049993530839291</v>
      </c>
      <c r="M18">
        <v>0.2942213164805905</v>
      </c>
      <c r="N18" t="s">
        <v>40</v>
      </c>
      <c r="O18" s="2">
        <f>IF(Итог!$B$3=0, 0, 16*(K18^2)/(Итог!$B$3^2))</f>
        <v>0</v>
      </c>
    </row>
    <row r="19" spans="1:15">
      <c r="A19" t="s">
        <v>23</v>
      </c>
      <c r="B19">
        <v>576</v>
      </c>
      <c r="C19">
        <v>630</v>
      </c>
      <c r="D19">
        <v>657</v>
      </c>
      <c r="E19">
        <v>1287</v>
      </c>
      <c r="F19">
        <v>0.02839931153184165</v>
      </c>
      <c r="G19">
        <v>1594.436507936508</v>
      </c>
      <c r="H19">
        <v>1342.129375951294</v>
      </c>
      <c r="I19">
        <v>252.3071319852143</v>
      </c>
      <c r="J19">
        <v>2683.727210577739</v>
      </c>
      <c r="K19">
        <v>2415.822663876075</v>
      </c>
      <c r="L19">
        <v>1.774072989654177</v>
      </c>
      <c r="M19">
        <v>0.07628783375813585</v>
      </c>
      <c r="N19" t="s">
        <v>40</v>
      </c>
      <c r="O19" s="2">
        <f>IF(Итог!$B$3=0, 0, 16*(K19^2)/(Итог!$B$3^2))</f>
        <v>0</v>
      </c>
    </row>
    <row r="20" spans="1:15">
      <c r="A20" t="s">
        <v>23</v>
      </c>
      <c r="B20">
        <v>309</v>
      </c>
      <c r="C20">
        <v>240</v>
      </c>
      <c r="D20">
        <v>238</v>
      </c>
      <c r="E20">
        <v>478</v>
      </c>
      <c r="F20">
        <v>0.01054768524648043</v>
      </c>
      <c r="G20">
        <v>2706.279166666667</v>
      </c>
      <c r="H20">
        <v>2392.894957983193</v>
      </c>
      <c r="I20">
        <v>313.3842086834734</v>
      </c>
      <c r="J20">
        <v>2814.939848860401</v>
      </c>
      <c r="K20">
        <v>2761.938715817617</v>
      </c>
      <c r="L20">
        <v>1.228454613597767</v>
      </c>
      <c r="M20">
        <v>0.2198833841671851</v>
      </c>
      <c r="N20" t="s">
        <v>40</v>
      </c>
      <c r="O20" s="2">
        <f>IF(Итог!$B$3=0, 0, 16*(K20^2)/(Итог!$B$3^2))</f>
        <v>0</v>
      </c>
    </row>
    <row r="21" spans="1:15">
      <c r="A21" t="s">
        <v>24</v>
      </c>
      <c r="B21">
        <v>3987</v>
      </c>
      <c r="C21">
        <v>801</v>
      </c>
      <c r="D21">
        <v>785</v>
      </c>
      <c r="E21">
        <v>1586</v>
      </c>
      <c r="F21">
        <v>0.03499713138267355</v>
      </c>
      <c r="G21">
        <v>1602.995006242197</v>
      </c>
      <c r="H21">
        <v>1639.857324840764</v>
      </c>
      <c r="I21">
        <v>-36.86231859856707</v>
      </c>
      <c r="J21">
        <v>2518.829205201296</v>
      </c>
      <c r="K21">
        <v>2686.317416609783</v>
      </c>
      <c r="L21">
        <v>-0.2819652008786738</v>
      </c>
      <c r="M21">
        <v>0.7780070273603263</v>
      </c>
      <c r="N21" t="s">
        <v>40</v>
      </c>
      <c r="O21" s="2">
        <f>IF(Итог!$B$3=0, 0, 16*(K21^2)/(Итог!$B$3^2))</f>
        <v>0</v>
      </c>
    </row>
    <row r="22" spans="1:15">
      <c r="A22" t="s">
        <v>24</v>
      </c>
      <c r="B22">
        <v>8543</v>
      </c>
      <c r="C22">
        <v>148</v>
      </c>
      <c r="D22">
        <v>140</v>
      </c>
      <c r="E22">
        <v>288</v>
      </c>
      <c r="F22">
        <v>0.00635509069244009</v>
      </c>
      <c r="G22">
        <v>1859.777027027027</v>
      </c>
      <c r="H22">
        <v>1804.25</v>
      </c>
      <c r="I22">
        <v>55.52702702702709</v>
      </c>
      <c r="J22">
        <v>2568.980429381175</v>
      </c>
      <c r="K22">
        <v>3015.726630467727</v>
      </c>
      <c r="L22">
        <v>0.1685059656667099</v>
      </c>
      <c r="M22">
        <v>0.8663043555057068</v>
      </c>
      <c r="N22" t="s">
        <v>40</v>
      </c>
      <c r="O22" s="2">
        <f>IF(Итог!$B$3=0, 0, 16*(K22^2)/(Итог!$B$3^2))</f>
        <v>0</v>
      </c>
    </row>
    <row r="23" spans="1:15">
      <c r="A23" t="s">
        <v>22</v>
      </c>
      <c r="B23">
        <v>516</v>
      </c>
      <c r="C23">
        <v>634</v>
      </c>
      <c r="D23">
        <v>636</v>
      </c>
      <c r="E23">
        <v>1270</v>
      </c>
      <c r="F23">
        <v>0.02802418465069068</v>
      </c>
      <c r="G23">
        <v>3237.200315457413</v>
      </c>
      <c r="H23">
        <v>2880.48427672956</v>
      </c>
      <c r="I23">
        <v>356.7160387278532</v>
      </c>
      <c r="J23">
        <v>4537.103842294765</v>
      </c>
      <c r="K23">
        <v>3819.292813470586</v>
      </c>
      <c r="L23">
        <v>1.515887389908</v>
      </c>
      <c r="M23">
        <v>0.1297970685161915</v>
      </c>
      <c r="N23" t="s">
        <v>40</v>
      </c>
      <c r="O23" s="2">
        <f>IF(Итог!$B$3=0, 0, 16*(K23^2)/(Итог!$B$3^2))</f>
        <v>0</v>
      </c>
    </row>
    <row r="24" spans="1:15">
      <c r="A24" t="s">
        <v>24</v>
      </c>
      <c r="B24">
        <v>2212</v>
      </c>
      <c r="C24">
        <v>422</v>
      </c>
      <c r="D24">
        <v>397</v>
      </c>
      <c r="E24">
        <v>819</v>
      </c>
      <c r="F24">
        <v>0.01807228915662651</v>
      </c>
      <c r="G24">
        <v>2813.168246445498</v>
      </c>
      <c r="H24">
        <v>2739.362720403023</v>
      </c>
      <c r="I24">
        <v>73.80552604247487</v>
      </c>
      <c r="J24">
        <v>3196.888860642937</v>
      </c>
      <c r="K24">
        <v>2446.975036181946</v>
      </c>
      <c r="L24">
        <v>0.3693374252775203</v>
      </c>
      <c r="M24">
        <v>0.7119719350975426</v>
      </c>
      <c r="N24" t="s">
        <v>40</v>
      </c>
      <c r="O24" s="2">
        <f>IF(Итог!$B$3=0, 0, 16*(K24^2)/(Итог!$B$3^2))</f>
        <v>0</v>
      </c>
    </row>
    <row r="25" spans="1:15">
      <c r="A25" t="s">
        <v>22</v>
      </c>
      <c r="B25">
        <v>439</v>
      </c>
      <c r="C25">
        <v>355</v>
      </c>
      <c r="D25">
        <v>351</v>
      </c>
      <c r="E25">
        <v>706</v>
      </c>
      <c r="F25">
        <v>0.01557879871132883</v>
      </c>
      <c r="G25">
        <v>2481.960563380282</v>
      </c>
      <c r="H25">
        <v>2400.635327635327</v>
      </c>
      <c r="I25">
        <v>81.32523574495417</v>
      </c>
      <c r="J25">
        <v>4040.441006810254</v>
      </c>
      <c r="K25">
        <v>3722.117072436034</v>
      </c>
      <c r="L25">
        <v>0.2780673503780506</v>
      </c>
      <c r="M25">
        <v>0.781042303541428</v>
      </c>
      <c r="N25" t="s">
        <v>40</v>
      </c>
      <c r="O25" s="2">
        <f>IF(Итог!$B$3=0, 0, 16*(K25^2)/(Итог!$B$3^2))</f>
        <v>0</v>
      </c>
    </row>
    <row r="26" spans="1:15">
      <c r="A26" t="s">
        <v>32</v>
      </c>
      <c r="B26">
        <v>277</v>
      </c>
      <c r="C26">
        <v>708</v>
      </c>
      <c r="D26">
        <v>709</v>
      </c>
      <c r="E26">
        <v>1417</v>
      </c>
      <c r="F26">
        <v>0.03126792885829031</v>
      </c>
      <c r="G26">
        <v>2285.75</v>
      </c>
      <c r="H26">
        <v>2431.365303244006</v>
      </c>
      <c r="I26">
        <v>-145.6153032440056</v>
      </c>
      <c r="J26">
        <v>2712.677878262808</v>
      </c>
      <c r="K26">
        <v>2868.587568641384</v>
      </c>
      <c r="L26">
        <v>-0.9817054668531612</v>
      </c>
      <c r="M26">
        <v>0.3264127897793312</v>
      </c>
      <c r="N26" t="s">
        <v>40</v>
      </c>
      <c r="O26" s="2">
        <f>IF(Итог!$B$3=0, 0, 16*(K26^2)/(Итог!$B$3^2))</f>
        <v>0</v>
      </c>
    </row>
    <row r="27" spans="1:15">
      <c r="A27" t="s">
        <v>38</v>
      </c>
      <c r="B27">
        <v>69</v>
      </c>
      <c r="C27">
        <v>75</v>
      </c>
      <c r="D27">
        <v>78</v>
      </c>
      <c r="E27">
        <v>153</v>
      </c>
      <c r="F27">
        <v>0.003376141930358798</v>
      </c>
      <c r="G27">
        <v>1171.453333333333</v>
      </c>
      <c r="H27">
        <v>600.1538461538462</v>
      </c>
      <c r="I27">
        <v>571.2994871794872</v>
      </c>
      <c r="J27">
        <v>2578.104102763247</v>
      </c>
      <c r="K27">
        <v>1690.139755052343</v>
      </c>
      <c r="L27">
        <v>1.627060492928312</v>
      </c>
      <c r="M27">
        <v>0.105809212549273</v>
      </c>
      <c r="N27" t="s">
        <v>40</v>
      </c>
      <c r="O27" s="2">
        <f>IF(Итог!$B$3=0, 0, 16*(K27^2)/(Итог!$B$3^2))</f>
        <v>0</v>
      </c>
    </row>
    <row r="28" spans="1:15">
      <c r="A28" t="s">
        <v>34</v>
      </c>
      <c r="B28">
        <v>82</v>
      </c>
      <c r="C28">
        <v>169</v>
      </c>
      <c r="D28">
        <v>229</v>
      </c>
      <c r="E28">
        <v>398</v>
      </c>
      <c r="F28">
        <v>0.008782382276358179</v>
      </c>
      <c r="G28">
        <v>2586.011834319527</v>
      </c>
      <c r="H28">
        <v>2655.67248908297</v>
      </c>
      <c r="I28">
        <v>-69.66065476344284</v>
      </c>
      <c r="J28">
        <v>2676.435562700454</v>
      </c>
      <c r="K28">
        <v>2929.363686396491</v>
      </c>
      <c r="L28">
        <v>-0.2431728557168128</v>
      </c>
      <c r="M28">
        <v>0.8079974055696059</v>
      </c>
      <c r="N28" t="s">
        <v>40</v>
      </c>
      <c r="O28" s="2">
        <f>IF(Итог!$B$3=0, 0, 16*(K28^2)/(Итог!$B$3^2))</f>
        <v>0</v>
      </c>
    </row>
    <row r="29" spans="1:15">
      <c r="A29" t="s">
        <v>37</v>
      </c>
      <c r="B29">
        <v>73</v>
      </c>
      <c r="C29">
        <v>187</v>
      </c>
      <c r="D29">
        <v>167</v>
      </c>
      <c r="E29">
        <v>354</v>
      </c>
      <c r="F29">
        <v>0.007811465642790944</v>
      </c>
      <c r="G29">
        <v>2092.181818181818</v>
      </c>
      <c r="H29">
        <v>2521.958083832335</v>
      </c>
      <c r="I29">
        <v>-429.7762656505174</v>
      </c>
      <c r="J29">
        <v>2530.274648080995</v>
      </c>
      <c r="K29">
        <v>2875.45963293559</v>
      </c>
      <c r="L29">
        <v>-1.495844679190591</v>
      </c>
      <c r="M29">
        <v>0.1355901469061843</v>
      </c>
      <c r="N29" t="s">
        <v>40</v>
      </c>
      <c r="O29" s="2">
        <f>IF(Итог!$B$3=0, 0, 16*(K29^2)/(Итог!$B$3^2))</f>
        <v>0</v>
      </c>
    </row>
    <row r="30" spans="1:15">
      <c r="A30" t="s">
        <v>24</v>
      </c>
      <c r="B30">
        <v>9121</v>
      </c>
      <c r="C30">
        <v>131</v>
      </c>
      <c r="D30">
        <v>108</v>
      </c>
      <c r="E30">
        <v>239</v>
      </c>
      <c r="F30">
        <v>0.005273842623240214</v>
      </c>
      <c r="G30">
        <v>1976.854961832061</v>
      </c>
      <c r="H30">
        <v>1856.944444444444</v>
      </c>
      <c r="I30">
        <v>119.9105173876167</v>
      </c>
      <c r="J30">
        <v>2605.79742740073</v>
      </c>
      <c r="K30">
        <v>2442.326165705242</v>
      </c>
      <c r="L30">
        <v>0.3641825669760286</v>
      </c>
      <c r="M30">
        <v>0.716046384232031</v>
      </c>
      <c r="N30" t="s">
        <v>40</v>
      </c>
      <c r="O30" s="2">
        <f>IF(Итог!$B$3=0, 0, 16*(K30^2)/(Итог!$B$3^2))</f>
        <v>0</v>
      </c>
    </row>
    <row r="31" spans="1:15">
      <c r="A31" t="s">
        <v>39</v>
      </c>
      <c r="B31">
        <v>2</v>
      </c>
      <c r="C31">
        <v>78</v>
      </c>
      <c r="D31">
        <v>71</v>
      </c>
      <c r="E31">
        <v>149</v>
      </c>
      <c r="F31">
        <v>0.003287876781852685</v>
      </c>
      <c r="G31">
        <v>579.3333333333334</v>
      </c>
      <c r="H31">
        <v>483.4507042253521</v>
      </c>
      <c r="I31">
        <v>95.88262910798124</v>
      </c>
      <c r="J31">
        <v>1860.762430432971</v>
      </c>
      <c r="K31">
        <v>1654.923181546782</v>
      </c>
      <c r="L31">
        <v>0.3310524347645207</v>
      </c>
      <c r="M31">
        <v>0.7410763125801646</v>
      </c>
      <c r="N31" t="s">
        <v>40</v>
      </c>
      <c r="O31" s="2">
        <f>IF(Итог!$B$3=0, 0, 16*(K31^2)/(Итог!$B$3^2))</f>
        <v>0</v>
      </c>
    </row>
    <row r="32" spans="1:15">
      <c r="A32" t="s">
        <v>24</v>
      </c>
      <c r="B32">
        <v>3786</v>
      </c>
      <c r="C32">
        <v>237</v>
      </c>
      <c r="D32">
        <v>278</v>
      </c>
      <c r="E32">
        <v>515</v>
      </c>
      <c r="F32">
        <v>0.01136413787016197</v>
      </c>
      <c r="G32">
        <v>2613.683544303798</v>
      </c>
      <c r="H32">
        <v>2688.230215827338</v>
      </c>
      <c r="I32">
        <v>-74.54667152354068</v>
      </c>
      <c r="J32">
        <v>2712.235858626844</v>
      </c>
      <c r="K32">
        <v>3292.937641046385</v>
      </c>
      <c r="L32">
        <v>-0.2773986976757021</v>
      </c>
      <c r="M32">
        <v>0.7815857297661141</v>
      </c>
      <c r="N32" t="s">
        <v>40</v>
      </c>
      <c r="O32" s="2">
        <f>IF(Итог!$B$3=0, 0, 16*(K32^2)/(Итог!$B$3^2))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Итог</vt:lpstr>
      <vt:lpstr>Положительные исходы</vt:lpstr>
      <vt:lpstr>Отрицательные исходы</vt:lpstr>
      <vt:lpstr>Нейтральные исходы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2026-03-20T09:56:23Z</dcterms:created>
  <dcterms:modified xsi:type="dcterms:W3CDTF">2026-03-20T09:56:23Z</dcterms:modified>
</cp:coreProperties>
</file>